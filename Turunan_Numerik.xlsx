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19609903-0356-4326-AB1A-CC5869F47752}" xr6:coauthVersionLast="47" xr6:coauthVersionMax="47" xr10:uidLastSave="{00000000-0000-0000-0000-000000000000}"/>
  <bookViews>
    <workbookView xWindow="-110" yWindow="-110" windowWidth="19420" windowHeight="10300" xr2:uid="{6FCBC099-DF4A-45CC-8172-58A539A20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" i="1" l="1"/>
  <c r="C58" i="1"/>
  <c r="B48" i="1"/>
  <c r="C23" i="1"/>
  <c r="D23" i="1" s="1"/>
  <c r="C24" i="1"/>
  <c r="D24" i="1" s="1"/>
  <c r="C25" i="1"/>
  <c r="D25" i="1" s="1"/>
  <c r="C26" i="1"/>
  <c r="D2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16" i="1"/>
  <c r="D16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7" i="1"/>
  <c r="D7" i="1" s="1"/>
  <c r="C6" i="1"/>
  <c r="D6" i="1" s="1"/>
  <c r="D3" i="1"/>
  <c r="B61" i="1" l="1"/>
  <c r="B58" i="1"/>
  <c r="B55" i="1"/>
  <c r="B50" i="1"/>
  <c r="C50" i="1" s="1"/>
  <c r="C61" i="1"/>
  <c r="C55" i="1"/>
  <c r="C53" i="1"/>
</calcChain>
</file>

<file path=xl/sharedStrings.xml><?xml version="1.0" encoding="utf-8"?>
<sst xmlns="http://schemas.openxmlformats.org/spreadsheetml/2006/main" count="24" uniqueCount="24">
  <si>
    <t>f(x)</t>
  </si>
  <si>
    <t>x-exp(x)</t>
  </si>
  <si>
    <t>batas bawah</t>
  </si>
  <si>
    <t>batas atas</t>
  </si>
  <si>
    <t>h</t>
  </si>
  <si>
    <t>n</t>
  </si>
  <si>
    <t>i</t>
  </si>
  <si>
    <t>f'(x0)=(fx1-fx0)/h</t>
  </si>
  <si>
    <t>Turunan Pertama f'(0,5)</t>
  </si>
  <si>
    <t>Selisih maju dengan error o(h)</t>
  </si>
  <si>
    <t>Selisih mundur dengan error o(h)</t>
  </si>
  <si>
    <t>Hasil turunan sebenarnya</t>
  </si>
  <si>
    <t>f-1</t>
  </si>
  <si>
    <t>f-2</t>
  </si>
  <si>
    <t>f0</t>
  </si>
  <si>
    <t>f1</t>
  </si>
  <si>
    <t>f2</t>
  </si>
  <si>
    <t>Selisih pusat dengan error o(h^2)</t>
  </si>
  <si>
    <t>Selisih maju dengan error o(h^2)</t>
  </si>
  <si>
    <t>Selisih pusat dengan error o(h^4)</t>
  </si>
  <si>
    <t>xi</t>
  </si>
  <si>
    <t>f(xi)</t>
  </si>
  <si>
    <t>f'(x0)=(fx0-fx(-1))/h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</si>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</sst>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"/>
    <numFmt numFmtId="165" formatCode="0.000000000000"/>
    <numFmt numFmtId="166" formatCode="0.0000%"/>
    <numFmt numFmtId="167" formatCode="0.000000%"/>
    <numFmt numFmtId="168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166" fontId="2" fillId="0" borderId="0" xfId="1" applyNumberFormat="1" applyFont="1"/>
    <xf numFmtId="166" fontId="0" fillId="0" borderId="0" xfId="1" applyNumberFormat="1" applyFont="1"/>
    <xf numFmtId="167" fontId="2" fillId="0" borderId="0" xfId="1" applyNumberFormat="1" applyFont="1"/>
    <xf numFmtId="0" fontId="2" fillId="0" borderId="1" xfId="0" applyFont="1" applyBorder="1"/>
    <xf numFmtId="165" fontId="2" fillId="0" borderId="1" xfId="0" applyNumberFormat="1" applyFont="1" applyBorder="1"/>
    <xf numFmtId="0" fontId="3" fillId="0" borderId="1" xfId="0" applyFont="1" applyBorder="1" applyAlignment="1">
      <alignment horizontal="center"/>
    </xf>
    <xf numFmtId="168" fontId="2" fillId="0" borderId="0" xfId="1" applyNumberFormat="1" applyFont="1"/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f(xi)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Sheet1!$C$6:$C$26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</c:numCache>
            </c:numRef>
          </c:xVal>
          <c:yVal>
            <c:numRef>
              <c:f>Sheet1!$D$6:$D$26</c:f>
              <c:numCache>
                <c:formatCode>0.000000000000</c:formatCode>
                <c:ptCount val="21"/>
                <c:pt idx="0">
                  <c:v>-1</c:v>
                </c:pt>
                <c:pt idx="1">
                  <c:v>-1.0012710963760241</c:v>
                </c:pt>
                <c:pt idx="2">
                  <c:v>-1.0051709180756476</c:v>
                </c:pt>
                <c:pt idx="3">
                  <c:v>-1.0118342427282832</c:v>
                </c:pt>
                <c:pt idx="4">
                  <c:v>-1.0214027581601699</c:v>
                </c:pt>
                <c:pt idx="5">
                  <c:v>-1.0340254166877414</c:v>
                </c:pt>
                <c:pt idx="6">
                  <c:v>-1.0498588075760031</c:v>
                </c:pt>
                <c:pt idx="7">
                  <c:v>-1.0690675485932573</c:v>
                </c:pt>
                <c:pt idx="8">
                  <c:v>-1.0918246976412704</c:v>
                </c:pt>
                <c:pt idx="9">
                  <c:v>-1.118312185490169</c:v>
                </c:pt>
                <c:pt idx="10">
                  <c:v>-1.1487212707001282</c:v>
                </c:pt>
                <c:pt idx="11">
                  <c:v>-1.1832530178673952</c:v>
                </c:pt>
                <c:pt idx="12">
                  <c:v>-1.222118800390509</c:v>
                </c:pt>
                <c:pt idx="13">
                  <c:v>-1.2655408290138963</c:v>
                </c:pt>
                <c:pt idx="14">
                  <c:v>-1.3137527074704765</c:v>
                </c:pt>
                <c:pt idx="15">
                  <c:v>-1.3670000166126748</c:v>
                </c:pt>
                <c:pt idx="16">
                  <c:v>-1.4255409284924678</c:v>
                </c:pt>
                <c:pt idx="17">
                  <c:v>-1.4896468519259911</c:v>
                </c:pt>
                <c:pt idx="18">
                  <c:v>-1.5596031111569499</c:v>
                </c:pt>
                <c:pt idx="19">
                  <c:v>-1.6357096593158462</c:v>
                </c:pt>
                <c:pt idx="20">
                  <c:v>-1.7182818284590451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4-45C1-8D49-22C41442B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23840"/>
        <c:axId val="42724320"/>
      </c:scatterChart>
      <c:valAx>
        <c:axId val="4272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724320"/>
        <c:crosses val="autoZero"/>
        <c:crossBetween val="midCat"/>
      </c:valAx>
      <c:valAx>
        <c:axId val="427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72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193674</xdr:rowOff>
    </xdr:from>
    <xdr:to>
      <xdr:col>3</xdr:col>
      <xdr:colOff>1447800</xdr:colOff>
      <xdr:row>42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C1CEDA-282A-D2B0-2B9A-34BC4F327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12700</xdr:colOff>
      <xdr:row>54</xdr:row>
      <xdr:rowOff>31750</xdr:rowOff>
    </xdr:from>
    <xdr:to>
      <xdr:col>0</xdr:col>
      <xdr:colOff>1686822</xdr:colOff>
      <xdr:row>55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85D582-A846-4484-A694-BB738D3BE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9874250"/>
          <a:ext cx="1674122" cy="3365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57</xdr:row>
      <xdr:rowOff>19050</xdr:rowOff>
    </xdr:from>
    <xdr:to>
      <xdr:col>0</xdr:col>
      <xdr:colOff>1866412</xdr:colOff>
      <xdr:row>58</xdr:row>
      <xdr:rowOff>177800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BFCE38-1659-43F2-8DC3-84110043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0452100"/>
          <a:ext cx="1809262" cy="3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</xdr:colOff>
      <xdr:row>60</xdr:row>
      <xdr:rowOff>69850</xdr:rowOff>
    </xdr:from>
    <xdr:to>
      <xdr:col>0</xdr:col>
      <xdr:colOff>2025650</xdr:colOff>
      <xdr:row>61</xdr:row>
      <xdr:rowOff>140829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F80840-0C19-43CB-A7EC-459660927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1093450"/>
          <a:ext cx="1981200" cy="267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8A2D-F25A-4142-B1E2-E3403250CA4D}">
  <dimension ref="A1:H61"/>
  <sheetViews>
    <sheetView tabSelected="1" topLeftCell="A38" workbookViewId="0">
      <selection activeCell="B54" sqref="B54"/>
    </sheetView>
  </sheetViews>
  <sheetFormatPr defaultRowHeight="15.5" x14ac:dyDescent="0.35"/>
  <cols>
    <col min="1" max="1" width="30" style="1" bestFit="1" customWidth="1"/>
    <col min="2" max="2" width="16.36328125" style="1" bestFit="1" customWidth="1"/>
    <col min="3" max="3" width="11.90625" style="1" bestFit="1" customWidth="1"/>
    <col min="4" max="4" width="20.81640625" style="1" bestFit="1" customWidth="1"/>
    <col min="5" max="5" width="8.7265625" style="1"/>
    <col min="6" max="6" width="11.1796875" style="1" customWidth="1"/>
    <col min="7" max="7" width="16.36328125" style="1" bestFit="1" customWidth="1"/>
    <col min="8" max="8" width="15.26953125" style="1" bestFit="1" customWidth="1"/>
    <col min="9" max="16384" width="8.7265625" style="1"/>
  </cols>
  <sheetData>
    <row r="1" spans="1:8" x14ac:dyDescent="0.35">
      <c r="A1" s="6" t="s">
        <v>0</v>
      </c>
      <c r="B1" s="6" t="s">
        <v>1</v>
      </c>
    </row>
    <row r="2" spans="1:8" x14ac:dyDescent="0.35">
      <c r="A2" s="6" t="s">
        <v>2</v>
      </c>
      <c r="B2" s="6">
        <v>0</v>
      </c>
      <c r="C2" s="6" t="s">
        <v>4</v>
      </c>
      <c r="D2" s="6">
        <v>0.05</v>
      </c>
      <c r="G2" s="2"/>
    </row>
    <row r="3" spans="1:8" x14ac:dyDescent="0.35">
      <c r="A3" s="6" t="s">
        <v>3</v>
      </c>
      <c r="B3" s="6">
        <v>1</v>
      </c>
      <c r="C3" s="6" t="s">
        <v>5</v>
      </c>
      <c r="D3" s="6">
        <f>(B3-B2)/D2</f>
        <v>20</v>
      </c>
    </row>
    <row r="5" spans="1:8" x14ac:dyDescent="0.35">
      <c r="B5" s="8" t="s">
        <v>6</v>
      </c>
      <c r="C5" s="8" t="s">
        <v>20</v>
      </c>
      <c r="D5" s="8" t="s">
        <v>21</v>
      </c>
    </row>
    <row r="6" spans="1:8" x14ac:dyDescent="0.35">
      <c r="B6" s="6">
        <v>0</v>
      </c>
      <c r="C6" s="6">
        <f>B6*$D$2</f>
        <v>0</v>
      </c>
      <c r="D6" s="7">
        <f>C6-EXP(C6)</f>
        <v>-1</v>
      </c>
    </row>
    <row r="7" spans="1:8" x14ac:dyDescent="0.35">
      <c r="B7" s="6">
        <v>1</v>
      </c>
      <c r="C7" s="6">
        <f>B7*$D$2</f>
        <v>0.05</v>
      </c>
      <c r="D7" s="7">
        <f t="shared" ref="D7:D26" si="0">C7-EXP(C7)</f>
        <v>-1.0012710963760241</v>
      </c>
    </row>
    <row r="8" spans="1:8" x14ac:dyDescent="0.35">
      <c r="B8" s="6">
        <v>2</v>
      </c>
      <c r="C8" s="6">
        <f t="shared" ref="C8:C26" si="1">B8*$D$2</f>
        <v>0.1</v>
      </c>
      <c r="D8" s="7">
        <f t="shared" si="0"/>
        <v>-1.0051709180756476</v>
      </c>
      <c r="G8" s="2"/>
      <c r="H8" s="3"/>
    </row>
    <row r="9" spans="1:8" x14ac:dyDescent="0.35">
      <c r="B9" s="6">
        <v>3</v>
      </c>
      <c r="C9" s="6">
        <f t="shared" si="1"/>
        <v>0.15000000000000002</v>
      </c>
      <c r="D9" s="7">
        <f t="shared" si="0"/>
        <v>-1.0118342427282832</v>
      </c>
    </row>
    <row r="10" spans="1:8" x14ac:dyDescent="0.35">
      <c r="B10" s="6">
        <v>4</v>
      </c>
      <c r="C10" s="6">
        <f t="shared" si="1"/>
        <v>0.2</v>
      </c>
      <c r="D10" s="7">
        <f t="shared" si="0"/>
        <v>-1.0214027581601699</v>
      </c>
    </row>
    <row r="11" spans="1:8" x14ac:dyDescent="0.35">
      <c r="B11" s="6">
        <v>5</v>
      </c>
      <c r="C11" s="6">
        <f t="shared" si="1"/>
        <v>0.25</v>
      </c>
      <c r="D11" s="7">
        <f t="shared" si="0"/>
        <v>-1.0340254166877414</v>
      </c>
      <c r="G11" s="2"/>
      <c r="H11" s="3"/>
    </row>
    <row r="12" spans="1:8" x14ac:dyDescent="0.35">
      <c r="B12" s="6">
        <v>6</v>
      </c>
      <c r="C12" s="6">
        <f t="shared" si="1"/>
        <v>0.30000000000000004</v>
      </c>
      <c r="D12" s="7">
        <f t="shared" si="0"/>
        <v>-1.0498588075760031</v>
      </c>
    </row>
    <row r="13" spans="1:8" x14ac:dyDescent="0.35">
      <c r="B13" s="6">
        <v>7</v>
      </c>
      <c r="C13" s="6">
        <f t="shared" si="1"/>
        <v>0.35000000000000003</v>
      </c>
      <c r="D13" s="7">
        <f t="shared" si="0"/>
        <v>-1.0690675485932573</v>
      </c>
    </row>
    <row r="14" spans="1:8" x14ac:dyDescent="0.35">
      <c r="B14" s="6">
        <v>8</v>
      </c>
      <c r="C14" s="6">
        <f t="shared" si="1"/>
        <v>0.4</v>
      </c>
      <c r="D14" s="7">
        <f t="shared" si="0"/>
        <v>-1.0918246976412704</v>
      </c>
      <c r="E14" s="6" t="s">
        <v>13</v>
      </c>
      <c r="G14" s="2"/>
      <c r="H14" s="3"/>
    </row>
    <row r="15" spans="1:8" x14ac:dyDescent="0.35">
      <c r="B15" s="6">
        <v>9</v>
      </c>
      <c r="C15" s="6">
        <f t="shared" si="1"/>
        <v>0.45</v>
      </c>
      <c r="D15" s="7">
        <f t="shared" si="0"/>
        <v>-1.118312185490169</v>
      </c>
      <c r="E15" s="6" t="s">
        <v>12</v>
      </c>
    </row>
    <row r="16" spans="1:8" x14ac:dyDescent="0.35">
      <c r="B16" s="6">
        <v>10</v>
      </c>
      <c r="C16" s="6">
        <f t="shared" si="1"/>
        <v>0.5</v>
      </c>
      <c r="D16" s="7">
        <f t="shared" si="0"/>
        <v>-1.1487212707001282</v>
      </c>
      <c r="E16" s="6" t="s">
        <v>14</v>
      </c>
    </row>
    <row r="17" spans="2:8" x14ac:dyDescent="0.35">
      <c r="B17" s="6">
        <v>11</v>
      </c>
      <c r="C17" s="6">
        <f t="shared" si="1"/>
        <v>0.55000000000000004</v>
      </c>
      <c r="D17" s="7">
        <f t="shared" si="0"/>
        <v>-1.1832530178673952</v>
      </c>
      <c r="E17" s="6" t="s">
        <v>15</v>
      </c>
      <c r="G17" s="2"/>
      <c r="H17" s="4"/>
    </row>
    <row r="18" spans="2:8" x14ac:dyDescent="0.35">
      <c r="B18" s="6">
        <v>12</v>
      </c>
      <c r="C18" s="6">
        <f t="shared" si="1"/>
        <v>0.60000000000000009</v>
      </c>
      <c r="D18" s="7">
        <f t="shared" si="0"/>
        <v>-1.222118800390509</v>
      </c>
      <c r="E18" s="6" t="s">
        <v>16</v>
      </c>
    </row>
    <row r="19" spans="2:8" x14ac:dyDescent="0.35">
      <c r="B19" s="6">
        <v>13</v>
      </c>
      <c r="C19" s="6">
        <f t="shared" si="1"/>
        <v>0.65</v>
      </c>
      <c r="D19" s="7">
        <f t="shared" si="0"/>
        <v>-1.2655408290138963</v>
      </c>
    </row>
    <row r="20" spans="2:8" x14ac:dyDescent="0.35">
      <c r="B20" s="6">
        <v>14</v>
      </c>
      <c r="C20" s="6">
        <f t="shared" si="1"/>
        <v>0.70000000000000007</v>
      </c>
      <c r="D20" s="7">
        <f t="shared" si="0"/>
        <v>-1.3137527074704765</v>
      </c>
      <c r="G20" s="2"/>
      <c r="H20" s="5"/>
    </row>
    <row r="21" spans="2:8" x14ac:dyDescent="0.35">
      <c r="B21" s="6">
        <v>15</v>
      </c>
      <c r="C21" s="6">
        <f t="shared" si="1"/>
        <v>0.75</v>
      </c>
      <c r="D21" s="7">
        <f t="shared" si="0"/>
        <v>-1.3670000166126748</v>
      </c>
    </row>
    <row r="22" spans="2:8" x14ac:dyDescent="0.35">
      <c r="B22" s="6">
        <v>16</v>
      </c>
      <c r="C22" s="6">
        <f t="shared" si="1"/>
        <v>0.8</v>
      </c>
      <c r="D22" s="7">
        <f t="shared" si="0"/>
        <v>-1.4255409284924678</v>
      </c>
    </row>
    <row r="23" spans="2:8" x14ac:dyDescent="0.35">
      <c r="B23" s="6">
        <v>17</v>
      </c>
      <c r="C23" s="6">
        <f t="shared" si="1"/>
        <v>0.85000000000000009</v>
      </c>
      <c r="D23" s="7">
        <f t="shared" si="0"/>
        <v>-1.4896468519259911</v>
      </c>
    </row>
    <row r="24" spans="2:8" x14ac:dyDescent="0.35">
      <c r="B24" s="6">
        <v>18</v>
      </c>
      <c r="C24" s="6">
        <f t="shared" si="1"/>
        <v>0.9</v>
      </c>
      <c r="D24" s="7">
        <f t="shared" si="0"/>
        <v>-1.5596031111569499</v>
      </c>
    </row>
    <row r="25" spans="2:8" x14ac:dyDescent="0.35">
      <c r="B25" s="6">
        <v>19</v>
      </c>
      <c r="C25" s="6">
        <f t="shared" si="1"/>
        <v>0.95000000000000007</v>
      </c>
      <c r="D25" s="7">
        <f t="shared" si="0"/>
        <v>-1.6357096593158462</v>
      </c>
    </row>
    <row r="26" spans="2:8" x14ac:dyDescent="0.35">
      <c r="B26" s="6">
        <v>20</v>
      </c>
      <c r="C26" s="6">
        <f t="shared" si="1"/>
        <v>1</v>
      </c>
      <c r="D26" s="7">
        <f t="shared" si="0"/>
        <v>-1.7182818284590451</v>
      </c>
    </row>
    <row r="48" spans="1:3" x14ac:dyDescent="0.35">
      <c r="A48" s="1" t="s">
        <v>11</v>
      </c>
      <c r="B48" s="2">
        <f>1-EXP(0.5)</f>
        <v>-0.64872127070012819</v>
      </c>
      <c r="C48" s="10" t="s">
        <v>23</v>
      </c>
    </row>
    <row r="49" spans="1:3" x14ac:dyDescent="0.35">
      <c r="A49" s="1" t="s">
        <v>8</v>
      </c>
    </row>
    <row r="50" spans="1:3" x14ac:dyDescent="0.35">
      <c r="A50" s="1" t="s">
        <v>9</v>
      </c>
      <c r="B50" s="2">
        <f>(D17-D16)/$D$2</f>
        <v>-0.6906349433453407</v>
      </c>
      <c r="C50" s="9">
        <f>ABS($B$48-B50)</f>
        <v>4.1913672645212507E-2</v>
      </c>
    </row>
    <row r="51" spans="1:3" x14ac:dyDescent="0.35">
      <c r="A51" s="1" t="s">
        <v>7</v>
      </c>
    </row>
    <row r="52" spans="1:3" x14ac:dyDescent="0.35">
      <c r="A52" s="1" t="s">
        <v>10</v>
      </c>
    </row>
    <row r="53" spans="1:3" x14ac:dyDescent="0.35">
      <c r="A53" s="1" t="s">
        <v>22</v>
      </c>
      <c r="B53" s="2">
        <f>(D16-D15)/$D$2</f>
        <v>-0.60818170419918438</v>
      </c>
      <c r="C53" s="9">
        <f>ABS($B$48-B53)</f>
        <v>4.0539566500943813E-2</v>
      </c>
    </row>
    <row r="54" spans="1:3" x14ac:dyDescent="0.35">
      <c r="A54" s="1" t="s">
        <v>17</v>
      </c>
    </row>
    <row r="55" spans="1:3" x14ac:dyDescent="0.35">
      <c r="B55" s="2">
        <f>(D17-D15)/(2*$D$2)</f>
        <v>-0.64940832377226254</v>
      </c>
      <c r="C55" s="9">
        <f>ABS($B$48-B55)</f>
        <v>6.8705307213434708E-4</v>
      </c>
    </row>
    <row r="57" spans="1:3" x14ac:dyDescent="0.35">
      <c r="A57" s="1" t="s">
        <v>18</v>
      </c>
    </row>
    <row r="58" spans="1:3" x14ac:dyDescent="0.35">
      <c r="B58" s="2">
        <f>(-3*D16+4*D17-D18)/(2*$D$2)</f>
        <v>-0.64729458978687315</v>
      </c>
      <c r="C58" s="9">
        <f>ABS($B$48-B58)</f>
        <v>1.4266809132550407E-3</v>
      </c>
    </row>
    <row r="60" spans="1:3" x14ac:dyDescent="0.35">
      <c r="A60" s="1" t="s">
        <v>19</v>
      </c>
    </row>
    <row r="61" spans="1:3" x14ac:dyDescent="0.35">
      <c r="B61" s="2">
        <f>(D14-8*D15+8*D17-D18)/(12*$D$2)</f>
        <v>-0.64872092711428486</v>
      </c>
      <c r="C61" s="9">
        <f>ABS($B$48-B61)</f>
        <v>3.4358584333205044E-7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2026-06-18T03:30:15Z</dcterms:created>
  <dcterms:modified xsi:type="dcterms:W3CDTF">2026-06-26T07:54:01Z</dcterms:modified>
</cp:coreProperties>
</file>